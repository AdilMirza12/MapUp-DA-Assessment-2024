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ilm\Downloads\"/>
    </mc:Choice>
  </mc:AlternateContent>
  <xr:revisionPtr revIDLastSave="0" documentId="13_ncr:1_{3D2A8F05-D24C-4D41-BEF0-13A80C937B32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16" i="16" l="1"/>
  <c r="B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F13" i="19"/>
  <c r="D14" i="19"/>
  <c r="D22" i="19" s="1"/>
  <c r="D15" i="19"/>
  <c r="D16" i="19"/>
  <c r="D17" i="19"/>
  <c r="D18" i="19"/>
  <c r="D19" i="19"/>
  <c r="D20" i="19"/>
  <c r="D21" i="19"/>
  <c r="D13" i="19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<sst xmlns="http://schemas.openxmlformats.org/spreadsheetml/2006/main" count="327" uniqueCount="181">
  <si>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</si>
  <si>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</si>
  <si>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</si>
  <si>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</si>
  <si>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</si>
  <si>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</si>
  <si>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</si>
  <si>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</si>
  <si>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</si>
  <si>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</si>
  <si>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</si>
  <si>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</si>
  <si>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</si>
  <si>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</si>
  <si>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</si>
  <si>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</si>
  <si>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</si>
  <si>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</si>
  <si>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</si>
  <si>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</si>
  <si>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</si>
  <si>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</si>
  <si>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</si>
  <si>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</si>
  <si>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</si>
  <si>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</si>
  <si>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</si>
  <si>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</si>
  <si>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</si>
  <si>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</si>
  <si>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</si>
  <si>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</si>
  <si>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</si>
  <si>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</si>
  <si>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</si>
  <si>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</si>
  <si>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</si>
  <si>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</si>
  <si>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</si>
  <si>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</si>
  <si>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</si>
  <si>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</si>
  <si>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</si>
  <si>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</si>
  <si>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</si>
  <si>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</si>
  <si>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</si>
  <si>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</si>
  <si>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</si>
  <si>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</si>
  <si>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</si>
  <si>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</si>
  <si>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</si>
  <si>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</si>
  <si>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</si>
  <si>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</si>
  <si>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</si>
  <si>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</si>
  <si>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</si>
  <si>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</si>
  <si>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</si>
  <si>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</si>
  <si>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</si>
  <si>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</si>
  <si>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</si>
  <si>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</si>
  <si>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</si>
  <si>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</si>
  <si>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</si>
  <si>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</si>
  <si>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</si>
  <si>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</si>
  <si>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</si>
  <si>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</si>
  <si>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</si>
  <si>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</si>
  <si>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</si>
  <si>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</si>
  <si>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</si>
  <si>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</si>
  <si>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</si>
  <si>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</si>
  <si>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</si>
  <si>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</si>
  <si>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</si>
  <si>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</si>
  <si>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</si>
  <si>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</si>
  <si>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</si>
  <si>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</si>
  <si>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</si>
  <si>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</si>
  <si>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</si>
  <si>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</si>
  <si>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</si>
  <si>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</si>
  <si>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</si>
  <si>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</si>
  <si>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</si>
  <si>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</si>
  <si>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</si>
  <si>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</si>
  <si>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</si>
  <si>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</si>
  <si>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</si>
  <si>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</si>
  <si>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</si>
  <si>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</si>
  <si>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</si>
  <si>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</si>
  <si>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</si>
  <si>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</si>
  <si>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</si>
  <si>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</si>
  <si>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</si>
  <si>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</si>
  <si>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</si>
  <si>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</si>
  <si>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</si>
  <si>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</si>
  <si>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</si>
  <si>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</si>
  <si>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</si>
  <si>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</si>
  <si>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</si>
  <si>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</si>
  <si>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</si>
  <si>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</si>
  <si>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</si>
  <si>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</si>
  <si>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</si>
  <si>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</si>
  <si>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</si>
  <si>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</si>
  <si>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</si>
  <si>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</si>
  <si>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</si>
  <si>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</si>
  <si>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</si>
  <si>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</si>
  <si>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</si>
  <si>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</si>
  <si>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</si>
  <si>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</si>
  <si>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</si>
  <si>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</si>
  <si>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</si>
  <si>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</si>
  <si>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</si>
  <si>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</si>
  <si>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</si>
  <si>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</si>
  <si>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</si>
  <si>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</si>
  <si>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</si>
  <si>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</si>
  <si>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</si>
  <si>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</si>
  <si>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</si>
  <si>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</si>
  <si>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</si>
  <si>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</si>
  <si>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</si>
  <si>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</si>
  <si>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</si>
  <si>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</si>
  <si>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</si>
  <si>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</si>
  <si>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</si>
  <si>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</si>
  <si>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</si>
  <si>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</si>
  <si>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</si>
  <si>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</si>
  <si>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</si>
  <si>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</si>
  <si>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</si>
  <si>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</si>
  <si>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IFERROR(SUBSTITUTE(C13,"#N/A",20),20)</t>
  </si>
  <si>
    <t>LEFT(A16,5)</t>
  </si>
  <si>
    <t>MID(A16,7,6)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</si>
</sst>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18" fillId="4" borderId="0" xfId="1" applyFont="1" applyFill="1" applyAlignment="1">
      <alignment horizontal="center"/>
    </xf>
    <xf numFmtId="0" fontId="19" fillId="0" borderId="0" xfId="0" applyFont="1"/>
    <xf numFmtId="0" fontId="19" fillId="0" borderId="1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10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4" xfId="0" applyFont="1" applyBorder="1"/>
    <xf numFmtId="0" fontId="19" fillId="0" borderId="5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3" t="s">
        <v>170</v>
      </c>
      <c r="B9" s="24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abSelected="1" zoomScaleNormal="100" workbookViewId="0">
      <pane ySplit="1" topLeftCell="A2" activePane="bottomLeft" state="frozen"/>
      <selection pane="bottomLeft" activeCell="H43" sqref="H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24.109375" style="42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ellIs" dxfId="1" priority="2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163</v>
      </c>
    </row>
    <row r="2" spans="1:7" s="38" customFormat="1" ht="21" x14ac:dyDescent="0.4">
      <c r="B2" s="38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161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>VLOOKUP($A6,Dataset!A1:X40,7,FALSE)</f>
        <v>2.7</v>
      </c>
      <c r="C6" s="11">
        <f>VLOOKUP($A6,Dataset!A1:X40,14,FALSE)</f>
        <v>7.6</v>
      </c>
      <c r="D6" s="11">
        <f>VLOOKUP($A6,Dataset!A1:X40,18,FALSE)</f>
        <v>4.2</v>
      </c>
      <c r="E6" s="11">
        <f>VLOOKUP($A6,Dataset!A1:X40,20,FALSE)</f>
        <v>8.9</v>
      </c>
      <c r="F6" s="8">
        <f>VLOOKUP($A6,Dataset!A1:X40,22,FALSE)</f>
        <v>4.2</v>
      </c>
    </row>
    <row r="7" spans="1:7" ht="14.4" x14ac:dyDescent="0.3">
      <c r="A7" s="7" t="s">
        <v>4</v>
      </c>
      <c r="B7" s="11">
        <f>VLOOKUP($A7,Dataset!A2:X41,7,FALSE)</f>
        <v>2.7</v>
      </c>
      <c r="C7" s="11">
        <f>VLOOKUP($A7,Dataset!A2:X41,14,FALSE)</f>
        <v>7.6</v>
      </c>
      <c r="D7" s="11">
        <f>VLOOKUP($A7,Dataset!A2:X41,18,FALSE)</f>
        <v>4.2</v>
      </c>
      <c r="E7" s="11">
        <f>VLOOKUP($A7,Dataset!A2:X41,20,FALSE)</f>
        <v>8.9</v>
      </c>
      <c r="F7" s="8">
        <f>VLOOKUP($A7,Dataset!A2:X41,22,FALSE)</f>
        <v>4.2</v>
      </c>
    </row>
    <row r="8" spans="1:7" ht="14.4" x14ac:dyDescent="0.3">
      <c r="A8" s="7" t="s">
        <v>7</v>
      </c>
      <c r="B8" s="11">
        <f>VLOOKUP($A8,Dataset!A3:X42,7,FALSE)</f>
        <v>3.6</v>
      </c>
      <c r="C8" s="11">
        <f>VLOOKUP($A8,Dataset!A3:X42,14,FALSE)</f>
        <v>11.1</v>
      </c>
      <c r="D8" s="11">
        <f>VLOOKUP($A8,Dataset!A3:X42,18,FALSE)</f>
        <v>5.8</v>
      </c>
      <c r="E8" s="11">
        <f>VLOOKUP($A8,Dataset!A3:X42,20,FALSE)</f>
        <v>12.2</v>
      </c>
      <c r="F8" s="8">
        <f>VLOOKUP($A8,Dataset!A3:X42,22,FALSE)</f>
        <v>5.8</v>
      </c>
    </row>
    <row r="9" spans="1:7" ht="14.4" x14ac:dyDescent="0.3">
      <c r="A9" s="7" t="s">
        <v>8</v>
      </c>
      <c r="B9" s="11">
        <f>VLOOKUP($A9,Dataset!A4:X43,7,FALSE)</f>
        <v>4.9000000000000004</v>
      </c>
      <c r="C9" s="11">
        <f>VLOOKUP($A9,Dataset!A4:X43,14,FALSE)</f>
        <v>13.3</v>
      </c>
      <c r="D9" s="11">
        <f>VLOOKUP($A9,Dataset!A4:X43,18,FALSE)</f>
        <v>8.1</v>
      </c>
      <c r="E9" s="11">
        <f>VLOOKUP($A9,Dataset!A4:X43,20,FALSE)</f>
        <v>17</v>
      </c>
      <c r="F9" s="8">
        <f>VLOOKUP($A9,Dataset!A4:X43,22,FALSE)</f>
        <v>8.1</v>
      </c>
    </row>
    <row r="10" spans="1:7" ht="14.4" x14ac:dyDescent="0.3">
      <c r="A10" s="7" t="s">
        <v>11</v>
      </c>
      <c r="B10" s="11">
        <f>VLOOKUP($A10,Dataset!A5:X44,7,FALSE)</f>
        <v>9.4</v>
      </c>
      <c r="C10" s="11">
        <f>VLOOKUP($A10,Dataset!A5:X44,14,FALSE)</f>
        <v>28.3</v>
      </c>
      <c r="D10" s="11">
        <f>VLOOKUP($A10,Dataset!A5:X44,18,FALSE)</f>
        <v>16.100000000000001</v>
      </c>
      <c r="E10" s="11">
        <f>VLOOKUP($A10,Dataset!A5:X44,20,FALSE)</f>
        <v>32.799999999999997</v>
      </c>
      <c r="F10" s="8">
        <f>VLOOKUP($A10,Dataset!A5:X44,22,FALSE)</f>
        <v>16.100000000000001</v>
      </c>
    </row>
    <row r="11" spans="1:7" ht="14.4" x14ac:dyDescent="0.3">
      <c r="A11" s="7" t="s">
        <v>12</v>
      </c>
      <c r="B11" s="11">
        <f>VLOOKUP($A11,Dataset!A6:X45,7,FALSE)</f>
        <v>11.6</v>
      </c>
      <c r="C11" s="11">
        <f>VLOOKUP($A11,Dataset!A6:X45,14,FALSE)</f>
        <v>35.200000000000003</v>
      </c>
      <c r="D11" s="11">
        <f>VLOOKUP($A11,Dataset!A6:X45,18,FALSE)</f>
        <v>21.3</v>
      </c>
      <c r="E11" s="11">
        <f>VLOOKUP($A11,Dataset!A6:X45,20,FALSE)</f>
        <v>43</v>
      </c>
      <c r="F11" s="8">
        <f>VLOOKUP($A11,Dataset!A6:X45,22,FALSE)</f>
        <v>21.3</v>
      </c>
    </row>
    <row r="12" spans="1:7" ht="14.4" x14ac:dyDescent="0.3">
      <c r="A12" s="7" t="s">
        <v>14</v>
      </c>
      <c r="B12" s="11">
        <f>VLOOKUP($A12,Dataset!A7:X46,7,FALSE)</f>
        <v>18.399999999999999</v>
      </c>
      <c r="C12" s="11">
        <f>VLOOKUP($A12,Dataset!A7:X46,14,FALSE)</f>
        <v>55.6</v>
      </c>
      <c r="D12" s="11">
        <f>VLOOKUP($A12,Dataset!A7:X46,18,FALSE)</f>
        <v>33.799999999999997</v>
      </c>
      <c r="E12" s="11">
        <f>VLOOKUP($A12,Dataset!A7:X46,20,FALSE)</f>
        <v>67.900000000000006</v>
      </c>
      <c r="F12" s="8">
        <f>VLOOKUP($A12,Dataset!A7:X46,22,FALSE)</f>
        <v>33.799999999999997</v>
      </c>
    </row>
    <row r="13" spans="1:7" ht="14.4" x14ac:dyDescent="0.3">
      <c r="A13" s="7" t="s">
        <v>15</v>
      </c>
      <c r="B13" s="11">
        <f>VLOOKUP($A13,Dataset!A8:X47,7,FALSE)</f>
        <v>0</v>
      </c>
      <c r="C13" s="11">
        <f>VLOOKUP($A13,Dataset!A8:X47,14,FALSE)</f>
        <v>0</v>
      </c>
      <c r="D13" s="11">
        <f>VLOOKUP($A13,Dataset!A8:X47,18,FALSE)</f>
        <v>0</v>
      </c>
      <c r="E13" s="11">
        <f>VLOOKUP($A13,Dataset!A8:X47,20,FALSE)</f>
        <v>0</v>
      </c>
      <c r="F13" s="8">
        <f>VLOOKUP($A13,Dataset!A8:X47,22,FALSE)</f>
        <v>0</v>
      </c>
    </row>
    <row r="14" spans="1:7" ht="14.4" x14ac:dyDescent="0.3">
      <c r="A14" s="7" t="s">
        <v>16</v>
      </c>
      <c r="B14" s="11">
        <f>VLOOKUP($A14,Dataset!A9:X48,7,FALSE)</f>
        <v>21.9</v>
      </c>
      <c r="C14" s="11">
        <f>VLOOKUP($A14,Dataset!A9:X48,14,FALSE)</f>
        <v>61.5</v>
      </c>
      <c r="D14" s="11">
        <f>VLOOKUP($A14,Dataset!A9:X48,18,FALSE)</f>
        <v>40.1</v>
      </c>
      <c r="E14" s="11">
        <f>VLOOKUP($A14,Dataset!A9:X48,20,FALSE)</f>
        <v>76.599999999999994</v>
      </c>
      <c r="F14" s="8">
        <f>VLOOKUP($A14,Dataset!A9:X48,22,FALSE)</f>
        <v>40.1</v>
      </c>
    </row>
    <row r="15" spans="1:7" ht="14.4" x14ac:dyDescent="0.3">
      <c r="A15" s="7" t="s">
        <v>18</v>
      </c>
      <c r="B15" s="11">
        <f>VLOOKUP($A15,Dataset!A10:X49,7,FALSE)</f>
        <v>26.8</v>
      </c>
      <c r="C15" s="11">
        <f>VLOOKUP($A15,Dataset!A10:X49,14,FALSE)</f>
        <v>79.599999999999994</v>
      </c>
      <c r="D15" s="11">
        <f>VLOOKUP($A15,Dataset!A10:X49,18,FALSE)</f>
        <v>47.9</v>
      </c>
      <c r="E15" s="11">
        <f>VLOOKUP($A15,Dataset!A10:X49,20,FALSE)</f>
        <v>96.8</v>
      </c>
      <c r="F15" s="8">
        <f>VLOOKUP($A15,Dataset!A10:X49,22,FALSE)</f>
        <v>47.9</v>
      </c>
    </row>
    <row r="16" spans="1:7" ht="14.4" x14ac:dyDescent="0.3">
      <c r="A16" s="7" t="s">
        <v>20</v>
      </c>
      <c r="B16" s="11">
        <f>VLOOKUP($A16,Dataset!A11:X50,7,FALSE)</f>
        <v>28.5</v>
      </c>
      <c r="C16" s="11">
        <f>VLOOKUP($A16,Dataset!A11:X50,14,FALSE)</f>
        <v>85.4</v>
      </c>
      <c r="D16" s="11">
        <f>VLOOKUP($A16,Dataset!A11:X50,18,FALSE)</f>
        <v>52.3</v>
      </c>
      <c r="E16" s="11">
        <f>VLOOKUP($A16,Dataset!A11:X50,20,FALSE)</f>
        <v>106.1</v>
      </c>
      <c r="F16" s="8">
        <f>VLOOKUP($A16,Dataset!A11:X50,22,FALSE)</f>
        <v>52.3</v>
      </c>
    </row>
    <row r="17" spans="1:6" ht="14.4" x14ac:dyDescent="0.3">
      <c r="A17" s="7" t="s">
        <v>22</v>
      </c>
      <c r="B17" s="11">
        <f>VLOOKUP($A17,Dataset!A12:X51,7,FALSE)</f>
        <v>30.7</v>
      </c>
      <c r="C17" s="11">
        <f>VLOOKUP($A17,Dataset!A12:X51,14,FALSE)</f>
        <v>92.1</v>
      </c>
      <c r="D17" s="11">
        <f>VLOOKUP($A17,Dataset!A12:X51,18,FALSE)</f>
        <v>57</v>
      </c>
      <c r="E17" s="11">
        <f>VLOOKUP($A17,Dataset!A12:X51,20,FALSE)</f>
        <v>115.1</v>
      </c>
      <c r="F17" s="8">
        <f>VLOOKUP($A17,Dataset!A12:X51,22,FALSE)</f>
        <v>57</v>
      </c>
    </row>
    <row r="18" spans="1:6" ht="14.4" x14ac:dyDescent="0.3">
      <c r="A18" s="7" t="s">
        <v>23</v>
      </c>
      <c r="B18" s="11">
        <f>VLOOKUP($A18,Dataset!A13:X52,7,FALSE)</f>
        <v>33.799999999999997</v>
      </c>
      <c r="C18" s="11">
        <f>VLOOKUP($A18,Dataset!A13:X52,14,FALSE)</f>
        <v>101.3</v>
      </c>
      <c r="D18" s="11">
        <f>VLOOKUP($A18,Dataset!A13:X52,18,FALSE)</f>
        <v>61.4</v>
      </c>
      <c r="E18" s="11">
        <f>VLOOKUP($A18,Dataset!A13:X52,20,FALSE)</f>
        <v>124.4</v>
      </c>
      <c r="F18" s="8">
        <f>VLOOKUP($A18,Dataset!A13:X52,22,FALSE)</f>
        <v>61.4</v>
      </c>
    </row>
    <row r="19" spans="1:6" ht="14.4" x14ac:dyDescent="0.3">
      <c r="A19" s="7" t="s">
        <v>24</v>
      </c>
      <c r="B19" s="11">
        <f>VLOOKUP($A19,Dataset!A14:X53,7,FALSE)</f>
        <v>34.700000000000003</v>
      </c>
      <c r="C19" s="11">
        <f>VLOOKUP($A19,Dataset!A14:X53,14,FALSE)</f>
        <v>106.1</v>
      </c>
      <c r="D19" s="11">
        <f>VLOOKUP($A19,Dataset!A14:X53,18,FALSE)</f>
        <v>63.6</v>
      </c>
      <c r="E19" s="11">
        <f>VLOOKUP($A19,Dataset!A14:X53,20,FALSE)</f>
        <v>128.6</v>
      </c>
      <c r="F19" s="8">
        <f>VLOOKUP($A19,Dataset!A14:X53,22,FALSE)</f>
        <v>63.6</v>
      </c>
    </row>
    <row r="20" spans="1:6" ht="14.4" x14ac:dyDescent="0.3">
      <c r="A20" s="7" t="s">
        <v>28</v>
      </c>
      <c r="B20" s="11">
        <f>VLOOKUP($A20,Dataset!A15:X54,7,FALSE)</f>
        <v>0</v>
      </c>
      <c r="C20" s="11">
        <f>VLOOKUP($A20,Dataset!A15:X54,14,FALSE)</f>
        <v>0</v>
      </c>
      <c r="D20" s="11">
        <f>VLOOKUP($A20,Dataset!A15:X54,18,FALSE)</f>
        <v>0</v>
      </c>
      <c r="E20" s="11">
        <f>VLOOKUP($A20,Dataset!A15:X54,20,FALSE)</f>
        <v>0</v>
      </c>
      <c r="F20" s="8">
        <f>VLOOKUP($A20,Dataset!A15:X54,22,FALSE)</f>
        <v>0</v>
      </c>
    </row>
    <row r="21" spans="1:6" ht="14.4" x14ac:dyDescent="0.3">
      <c r="A21" s="7" t="s">
        <v>57</v>
      </c>
      <c r="B21" s="11">
        <f>VLOOKUP($A21,Dataset!A16:X55,7,FALSE)</f>
        <v>41.3</v>
      </c>
      <c r="C21" s="11">
        <f>VLOOKUP($A21,Dataset!A16:X55,14,FALSE)</f>
        <v>124.4</v>
      </c>
      <c r="D21" s="11">
        <f>VLOOKUP($A21,Dataset!A16:X55,18,FALSE)</f>
        <v>75</v>
      </c>
      <c r="E21" s="11">
        <f>VLOOKUP($A21,Dataset!A16:X55,20,FALSE)</f>
        <v>151.5</v>
      </c>
      <c r="F21" s="8">
        <f>VLOOKUP($A21,Dataset!A16:X55,22,FALSE)</f>
        <v>75</v>
      </c>
    </row>
    <row r="22" spans="1:6" ht="14.4" x14ac:dyDescent="0.3">
      <c r="A22" s="7" t="s">
        <v>58</v>
      </c>
      <c r="B22" s="11">
        <f>VLOOKUP($A22,Dataset!A17:X56,7,FALSE)</f>
        <v>-1</v>
      </c>
      <c r="C22" s="11">
        <f>VLOOKUP($A22,Dataset!A17:X56,14,FALSE)</f>
        <v>-1</v>
      </c>
      <c r="D22" s="11">
        <f>VLOOKUP($A22,Dataset!A17:X56,18,FALSE)</f>
        <v>-1</v>
      </c>
      <c r="E22" s="11">
        <f>VLOOKUP($A22,Dataset!A17:X56,20,FALSE)</f>
        <v>-1</v>
      </c>
      <c r="F22" s="8">
        <f>VLOOKUP($A22,Dataset!A17:X56,22,FALSE)</f>
        <v>-1</v>
      </c>
    </row>
    <row r="23" spans="1:6" ht="14.4" x14ac:dyDescent="0.3">
      <c r="A23" s="7" t="s">
        <v>31</v>
      </c>
      <c r="B23" s="11">
        <f>VLOOKUP($A23,Dataset!A18:X57,7,FALSE)</f>
        <v>45</v>
      </c>
      <c r="C23" s="11">
        <f>VLOOKUP($A23,Dataset!A18:X57,14,FALSE)</f>
        <v>133.4</v>
      </c>
      <c r="D23" s="11">
        <f>VLOOKUP($A23,Dataset!A18:X57,18,FALSE)</f>
        <v>79.400000000000006</v>
      </c>
      <c r="E23" s="11">
        <f>VLOOKUP($A23,Dataset!A18:X57,20,FALSE)</f>
        <v>160.9</v>
      </c>
      <c r="F23" s="8">
        <f>VLOOKUP($A23,Dataset!A18:X57,22,FALSE)</f>
        <v>79.400000000000006</v>
      </c>
    </row>
    <row r="24" spans="1:6" ht="14.4" x14ac:dyDescent="0.3">
      <c r="A24" s="7" t="s">
        <v>32</v>
      </c>
      <c r="B24" s="11">
        <f>VLOOKUP($A24,Dataset!A19:X58,7,FALSE)</f>
        <v>-1</v>
      </c>
      <c r="C24" s="11">
        <f>VLOOKUP($A24,Dataset!A19:X58,14,FALSE)</f>
        <v>-1</v>
      </c>
      <c r="D24" s="11">
        <f>VLOOKUP($A24,Dataset!A19:X58,18,FALSE)</f>
        <v>-1</v>
      </c>
      <c r="E24" s="11">
        <f>VLOOKUP($A24,Dataset!A19:X58,20,FALSE)</f>
        <v>-1</v>
      </c>
      <c r="F24" s="8">
        <f>VLOOKUP($A24,Dataset!A19:X58,22,FALSE)</f>
        <v>-1</v>
      </c>
    </row>
    <row r="25" spans="1:6" ht="14.4" x14ac:dyDescent="0.3">
      <c r="A25" s="7" t="s">
        <v>34</v>
      </c>
      <c r="B25" s="11">
        <f>VLOOKUP($A25,Dataset!A20:X59,7,FALSE)</f>
        <v>43.3</v>
      </c>
      <c r="C25" s="11">
        <f>VLOOKUP($A25,Dataset!A20:X59,14,FALSE)</f>
        <v>128.6</v>
      </c>
      <c r="D25" s="11">
        <f>VLOOKUP($A25,Dataset!A20:X59,18,FALSE)</f>
        <v>79.400000000000006</v>
      </c>
      <c r="E25" s="11">
        <f>VLOOKUP($A25,Dataset!A20:X59,20,FALSE)</f>
        <v>160.9</v>
      </c>
      <c r="F25" s="8">
        <f>VLOOKUP($A25,Dataset!A20:X59,22,FALSE)</f>
        <v>79.400000000000006</v>
      </c>
    </row>
    <row r="26" spans="1:6" ht="14.4" x14ac:dyDescent="0.3">
      <c r="A26" s="7" t="s">
        <v>37</v>
      </c>
      <c r="B26" s="11">
        <f>VLOOKUP($A26,Dataset!A21:X60,7,FALSE)</f>
        <v>49.1</v>
      </c>
      <c r="C26" s="11">
        <f>VLOOKUP($A26,Dataset!A21:X60,14,FALSE)</f>
        <v>146.80000000000001</v>
      </c>
      <c r="D26" s="11">
        <f>VLOOKUP($A26,Dataset!A21:X60,18,FALSE)</f>
        <v>90.9</v>
      </c>
      <c r="E26" s="11">
        <f>VLOOKUP($A26,Dataset!A21:X60,20,FALSE)</f>
        <v>183.5</v>
      </c>
      <c r="F26" s="8">
        <f>VLOOKUP($A26,Dataset!A21:X60,22,FALSE)</f>
        <v>90.9</v>
      </c>
    </row>
    <row r="27" spans="1:6" ht="14.4" x14ac:dyDescent="0.3">
      <c r="A27" s="7" t="s">
        <v>39</v>
      </c>
      <c r="B27" s="11">
        <f>VLOOKUP($A27,Dataset!A22:X61,7,FALSE)</f>
        <v>51.8</v>
      </c>
      <c r="C27" s="11">
        <f>VLOOKUP($A27,Dataset!A22:X61,14,FALSE)</f>
        <v>156.4</v>
      </c>
      <c r="D27" s="11">
        <f>VLOOKUP($A27,Dataset!A22:X61,18,FALSE)</f>
        <v>93.1</v>
      </c>
      <c r="E27" s="11">
        <f>VLOOKUP($A27,Dataset!A22:X61,20,FALSE)</f>
        <v>188.1</v>
      </c>
      <c r="F27" s="8">
        <f>VLOOKUP($A27,Dataset!A22:X61,22,FALSE)</f>
        <v>93.1</v>
      </c>
    </row>
    <row r="28" spans="1:6" ht="14.4" x14ac:dyDescent="0.3">
      <c r="A28" s="17" t="s">
        <v>82</v>
      </c>
      <c r="B28" s="15">
        <f>MIN(B6:B27)</f>
        <v>-1</v>
      </c>
      <c r="C28" s="15">
        <f t="shared" ref="C28:F28" si="0">MIN(C6:C27)</f>
        <v>-1</v>
      </c>
      <c r="D28" s="15">
        <f t="shared" si="0"/>
        <v>-1</v>
      </c>
      <c r="E28" s="15">
        <f t="shared" si="0"/>
        <v>-1</v>
      </c>
      <c r="F28" s="15">
        <f t="shared" si="0"/>
        <v>-1</v>
      </c>
    </row>
    <row r="29" spans="1:6" ht="14.4" x14ac:dyDescent="0.3">
      <c r="A29" s="17" t="s">
        <v>83</v>
      </c>
      <c r="B29" s="15">
        <f>MAX(B6:B28)</f>
        <v>51.8</v>
      </c>
      <c r="C29" s="15">
        <f t="shared" ref="C29:F29" si="1">MAX(C6:C28)</f>
        <v>156.4</v>
      </c>
      <c r="D29" s="15">
        <f t="shared" si="1"/>
        <v>93.1</v>
      </c>
      <c r="E29" s="15">
        <f t="shared" si="1"/>
        <v>188.1</v>
      </c>
      <c r="F29" s="15">
        <f t="shared" si="1"/>
        <v>93.1</v>
      </c>
    </row>
    <row r="30" spans="1:6" ht="14.4" x14ac:dyDescent="0.3">
      <c r="A30" s="17" t="s">
        <v>84</v>
      </c>
      <c r="B30" s="15">
        <f>AVERAGE(B6:B29)</f>
        <v>21.208333333333336</v>
      </c>
      <c r="C30" s="15">
        <f t="shared" ref="C30:F30" si="2">AVERAGE(C6:C29)</f>
        <v>63.654166666666669</v>
      </c>
      <c r="D30" s="15">
        <f t="shared" si="2"/>
        <v>38.487500000000004</v>
      </c>
      <c r="E30" s="15">
        <f t="shared" si="2"/>
        <v>77.845833333333331</v>
      </c>
      <c r="F30" s="15">
        <f t="shared" si="2"/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20" sqref="I20"/>
    </sheetView>
  </sheetViews>
  <sheetFormatPr defaultColWidth="11" defaultRowHeight="14.4" x14ac:dyDescent="0.3"/>
  <cols>
    <col min="1" max="1" width="39.77734375" style="1" bestFit="1" customWidth="1"/>
    <col min="2" max="2" width="13.44140625" style="1" customWidth="1"/>
    <col min="3" max="16384" width="11" style="1"/>
  </cols>
  <sheetData>
    <row r="1" spans="1:10" s="38" customFormat="1" ht="21" x14ac:dyDescent="0.4">
      <c r="A1" s="39" t="s">
        <v>56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0" t="s">
        <v>53</v>
      </c>
      <c r="B5" s="37" t="s">
        <v>179</v>
      </c>
      <c r="C5" s="37" t="s">
        <v>180</v>
      </c>
    </row>
    <row r="6" spans="1:10" ht="18" x14ac:dyDescent="0.35">
      <c r="A6" s="40" t="s">
        <v>152</v>
      </c>
      <c r="B6" s="37"/>
    </row>
    <row r="7" spans="1:10" ht="18" x14ac:dyDescent="0.35">
      <c r="A7" s="40"/>
      <c r="B7" s="37"/>
    </row>
    <row r="9" spans="1:10" ht="23.4" x14ac:dyDescent="0.45">
      <c r="A9" s="16" t="s">
        <v>164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3">
      <c r="A16" s="7" t="s">
        <v>120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">
      <c r="A17" s="7" t="s">
        <v>121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3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topLeftCell="A3" zoomScaleNormal="100" workbookViewId="0">
      <selection activeCell="F20" sqref="F20"/>
    </sheetView>
  </sheetViews>
  <sheetFormatPr defaultColWidth="11" defaultRowHeight="13.8" x14ac:dyDescent="0.3"/>
  <cols>
    <col min="1" max="1" width="28.21875" style="2" bestFit="1" customWidth="1"/>
    <col min="2" max="2" width="45.7773437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6" ht="21" x14ac:dyDescent="0.4">
      <c r="A1" s="39" t="s">
        <v>85</v>
      </c>
      <c r="B1" s="38" t="s">
        <v>166</v>
      </c>
    </row>
    <row r="2" spans="1:6" ht="18" x14ac:dyDescent="0.35">
      <c r="B2" s="37" t="s">
        <v>165</v>
      </c>
    </row>
    <row r="5" spans="1:6" ht="14.4" x14ac:dyDescent="0.3">
      <c r="B5" s="1" t="s">
        <v>150</v>
      </c>
    </row>
    <row r="6" spans="1:6" ht="14.4" x14ac:dyDescent="0.3">
      <c r="A6" s="3" t="s">
        <v>53</v>
      </c>
      <c r="B6" s="1" t="s">
        <v>178</v>
      </c>
    </row>
    <row r="7" spans="1:6" ht="14.4" x14ac:dyDescent="0.3">
      <c r="A7" s="3" t="s">
        <v>152</v>
      </c>
      <c r="B7" s="1"/>
    </row>
    <row r="10" spans="1:6" ht="23.4" x14ac:dyDescent="0.45">
      <c r="A10" s="16" t="s">
        <v>161</v>
      </c>
    </row>
    <row r="11" spans="1:6" ht="14.4" x14ac:dyDescent="0.3">
      <c r="A11" s="29" t="s">
        <v>86</v>
      </c>
      <c r="B11" s="15" t="s">
        <v>87</v>
      </c>
      <c r="C11" s="15" t="s">
        <v>88</v>
      </c>
      <c r="D11" s="15" t="s">
        <v>88</v>
      </c>
    </row>
    <row r="12" spans="1:6" ht="14.4" x14ac:dyDescent="0.3">
      <c r="A12" s="29">
        <v>44927</v>
      </c>
      <c r="B12" s="15" t="s">
        <v>59</v>
      </c>
      <c r="C12" s="15">
        <v>200</v>
      </c>
      <c r="D12" s="43">
        <v>200</v>
      </c>
    </row>
    <row r="13" spans="1:6" ht="14.4" x14ac:dyDescent="0.3">
      <c r="A13" s="29">
        <v>44928</v>
      </c>
      <c r="B13" s="15" t="s">
        <v>60</v>
      </c>
      <c r="C13" s="15" t="e">
        <v>#N/A</v>
      </c>
      <c r="D13" s="43">
        <f t="shared" ref="D13:D21" si="0">IFERROR(SUBSTITUTE(C13,"#N/A",20),20)</f>
        <v>20</v>
      </c>
      <c r="F13" s="2">
        <f>IFERROR(SUBSTITUTE(C13,"#N/A",20),20)</f>
        <v>20</v>
      </c>
    </row>
    <row r="14" spans="1:6" ht="14.4" x14ac:dyDescent="0.3">
      <c r="A14" s="29">
        <v>44929</v>
      </c>
      <c r="B14" s="15" t="s">
        <v>61</v>
      </c>
      <c r="C14" s="15">
        <v>50</v>
      </c>
      <c r="D14" s="43" t="str">
        <f t="shared" si="0"/>
        <v>50</v>
      </c>
    </row>
    <row r="15" spans="1:6" ht="14.4" x14ac:dyDescent="0.3">
      <c r="A15" s="29">
        <v>44930</v>
      </c>
      <c r="B15" s="15" t="s">
        <v>62</v>
      </c>
      <c r="C15" s="15" t="e">
        <v>#N/A</v>
      </c>
      <c r="D15" s="43">
        <f t="shared" si="0"/>
        <v>20</v>
      </c>
    </row>
    <row r="16" spans="1:6" ht="14.4" x14ac:dyDescent="0.3">
      <c r="A16" s="29">
        <v>44931</v>
      </c>
      <c r="B16" s="15" t="s">
        <v>63</v>
      </c>
      <c r="C16" s="15">
        <v>10</v>
      </c>
      <c r="D16" s="43" t="str">
        <f t="shared" si="0"/>
        <v>10</v>
      </c>
    </row>
    <row r="17" spans="1:4" ht="14.4" x14ac:dyDescent="0.3">
      <c r="A17" s="29">
        <v>44932</v>
      </c>
      <c r="B17" s="15" t="s">
        <v>153</v>
      </c>
      <c r="C17" s="15">
        <v>150</v>
      </c>
      <c r="D17" s="43" t="str">
        <f t="shared" si="0"/>
        <v>150</v>
      </c>
    </row>
    <row r="18" spans="1:4" ht="14.4" x14ac:dyDescent="0.3">
      <c r="A18" s="29">
        <v>44933</v>
      </c>
      <c r="B18" s="15" t="s">
        <v>154</v>
      </c>
      <c r="C18" s="15">
        <v>80</v>
      </c>
      <c r="D18" s="43" t="str">
        <f t="shared" si="0"/>
        <v>80</v>
      </c>
    </row>
    <row r="19" spans="1:4" ht="14.4" x14ac:dyDescent="0.3">
      <c r="A19" s="29">
        <v>44934</v>
      </c>
      <c r="B19" s="15" t="s">
        <v>155</v>
      </c>
      <c r="C19" s="15" t="e">
        <v>#N/A</v>
      </c>
      <c r="D19" s="43">
        <f t="shared" si="0"/>
        <v>20</v>
      </c>
    </row>
    <row r="20" spans="1:4" ht="14.4" x14ac:dyDescent="0.3">
      <c r="A20" s="29">
        <v>44935</v>
      </c>
      <c r="B20" s="15" t="s">
        <v>156</v>
      </c>
      <c r="C20" s="15">
        <v>30</v>
      </c>
      <c r="D20" s="43" t="str">
        <f t="shared" si="0"/>
        <v>30</v>
      </c>
    </row>
    <row r="21" spans="1:4" ht="14.4" x14ac:dyDescent="0.3">
      <c r="A21" s="29">
        <v>44936</v>
      </c>
      <c r="B21" s="15" t="s">
        <v>157</v>
      </c>
      <c r="C21" s="15" t="e">
        <v>#N/A</v>
      </c>
      <c r="D21" s="43">
        <f t="shared" si="0"/>
        <v>20</v>
      </c>
    </row>
    <row r="22" spans="1:4" ht="14.4" x14ac:dyDescent="0.3">
      <c r="B22" s="15" t="s">
        <v>158</v>
      </c>
      <c r="C22" s="23"/>
      <c r="D22" s="23">
        <f>SUM(D12:D21)</f>
        <v>280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52" zoomScaleNormal="100" workbookViewId="0">
      <selection activeCell="H26" sqref="H26"/>
    </sheetView>
  </sheetViews>
  <sheetFormatPr defaultColWidth="15.6640625" defaultRowHeight="23.4" x14ac:dyDescent="0.45"/>
  <cols>
    <col min="1" max="16384" width="15.6640625" style="45"/>
  </cols>
  <sheetData>
    <row r="1" spans="1:14" x14ac:dyDescent="0.45">
      <c r="A1" s="44" t="s">
        <v>98</v>
      </c>
      <c r="B1" s="45" t="s">
        <v>174</v>
      </c>
    </row>
    <row r="3" spans="1:14" x14ac:dyDescent="0.45">
      <c r="B3" s="45" t="s">
        <v>150</v>
      </c>
    </row>
    <row r="4" spans="1:14" x14ac:dyDescent="0.45">
      <c r="A4" s="45" t="s">
        <v>53</v>
      </c>
    </row>
    <row r="5" spans="1:14" x14ac:dyDescent="0.45">
      <c r="A5" s="45" t="s">
        <v>152</v>
      </c>
    </row>
    <row r="8" spans="1:14" x14ac:dyDescent="0.45">
      <c r="A8" s="16" t="s">
        <v>161</v>
      </c>
      <c r="M8" s="16" t="s">
        <v>162</v>
      </c>
    </row>
    <row r="9" spans="1:14" x14ac:dyDescent="0.45">
      <c r="A9" s="46"/>
      <c r="B9" s="46" t="s">
        <v>89</v>
      </c>
      <c r="C9" s="46" t="s">
        <v>90</v>
      </c>
      <c r="D9" s="46" t="s">
        <v>91</v>
      </c>
      <c r="E9" s="46" t="s">
        <v>92</v>
      </c>
      <c r="F9" s="46" t="s">
        <v>93</v>
      </c>
      <c r="G9" s="46" t="s">
        <v>94</v>
      </c>
      <c r="H9" s="46" t="s">
        <v>95</v>
      </c>
      <c r="I9" s="46" t="s">
        <v>96</v>
      </c>
      <c r="J9" s="46" t="s">
        <v>97</v>
      </c>
      <c r="M9" s="46" t="s">
        <v>43</v>
      </c>
      <c r="N9" s="46" t="s">
        <v>99</v>
      </c>
    </row>
    <row r="10" spans="1:14" x14ac:dyDescent="0.45">
      <c r="A10" s="46" t="s">
        <v>89</v>
      </c>
      <c r="B10" s="46">
        <v>-1</v>
      </c>
      <c r="C10" s="46">
        <v>95</v>
      </c>
      <c r="D10" s="46">
        <v>-1</v>
      </c>
      <c r="E10" s="46">
        <v>185</v>
      </c>
      <c r="F10" s="46">
        <v>255</v>
      </c>
      <c r="G10" s="46">
        <v>305</v>
      </c>
      <c r="H10" s="46">
        <v>415</v>
      </c>
      <c r="I10" s="46">
        <v>480</v>
      </c>
      <c r="J10" s="46">
        <v>525</v>
      </c>
      <c r="M10" s="47">
        <v>10100</v>
      </c>
      <c r="N10" s="47" t="s">
        <v>89</v>
      </c>
    </row>
    <row r="11" spans="1:14" x14ac:dyDescent="0.45">
      <c r="A11" s="46" t="s">
        <v>90</v>
      </c>
      <c r="B11" s="46">
        <v>95</v>
      </c>
      <c r="C11" s="46">
        <v>-1</v>
      </c>
      <c r="D11" s="46">
        <v>-1</v>
      </c>
      <c r="E11" s="46">
        <v>90</v>
      </c>
      <c r="F11" s="46">
        <v>160</v>
      </c>
      <c r="G11" s="46">
        <v>210</v>
      </c>
      <c r="H11" s="46">
        <v>325</v>
      </c>
      <c r="I11" s="46">
        <v>390</v>
      </c>
      <c r="J11" s="46">
        <v>430</v>
      </c>
      <c r="M11" s="47">
        <v>10102</v>
      </c>
      <c r="N11" s="47" t="s">
        <v>90</v>
      </c>
    </row>
    <row r="12" spans="1:14" x14ac:dyDescent="0.45">
      <c r="A12" s="46" t="s">
        <v>91</v>
      </c>
      <c r="B12" s="46">
        <v>-1</v>
      </c>
      <c r="C12" s="46">
        <v>-1</v>
      </c>
      <c r="D12" s="46">
        <v>-1</v>
      </c>
      <c r="E12" s="46">
        <v>60</v>
      </c>
      <c r="F12" s="46">
        <v>130</v>
      </c>
      <c r="G12" s="46">
        <v>180</v>
      </c>
      <c r="H12" s="46">
        <v>295</v>
      </c>
      <c r="I12" s="46">
        <v>355</v>
      </c>
      <c r="J12" s="46">
        <v>400</v>
      </c>
      <c r="M12" s="47">
        <v>10104</v>
      </c>
      <c r="N12" s="47" t="s">
        <v>91</v>
      </c>
    </row>
    <row r="13" spans="1:14" x14ac:dyDescent="0.45">
      <c r="A13" s="46" t="s">
        <v>92</v>
      </c>
      <c r="B13" s="46">
        <v>185</v>
      </c>
      <c r="C13" s="46">
        <v>90</v>
      </c>
      <c r="D13" s="46">
        <v>60</v>
      </c>
      <c r="E13" s="46">
        <v>-1</v>
      </c>
      <c r="F13" s="46">
        <v>70</v>
      </c>
      <c r="G13" s="46">
        <v>120</v>
      </c>
      <c r="H13" s="46">
        <v>235</v>
      </c>
      <c r="I13" s="46">
        <v>300</v>
      </c>
      <c r="J13" s="46">
        <v>340</v>
      </c>
      <c r="M13" s="47">
        <v>10106</v>
      </c>
      <c r="N13" s="47" t="s">
        <v>92</v>
      </c>
    </row>
    <row r="14" spans="1:14" x14ac:dyDescent="0.45">
      <c r="A14" s="46" t="s">
        <v>93</v>
      </c>
      <c r="B14" s="46">
        <v>255</v>
      </c>
      <c r="C14" s="46">
        <v>160</v>
      </c>
      <c r="D14" s="46">
        <v>130</v>
      </c>
      <c r="E14" s="46">
        <v>70</v>
      </c>
      <c r="F14" s="46">
        <v>-1</v>
      </c>
      <c r="G14" s="46">
        <v>50</v>
      </c>
      <c r="H14" s="46">
        <v>165</v>
      </c>
      <c r="I14" s="46">
        <v>230</v>
      </c>
      <c r="J14" s="46">
        <v>270</v>
      </c>
      <c r="M14" s="47">
        <v>10108</v>
      </c>
      <c r="N14" s="47" t="s">
        <v>93</v>
      </c>
    </row>
    <row r="15" spans="1:14" x14ac:dyDescent="0.45">
      <c r="A15" s="46" t="s">
        <v>94</v>
      </c>
      <c r="B15" s="46">
        <v>305</v>
      </c>
      <c r="C15" s="46">
        <v>210</v>
      </c>
      <c r="D15" s="46">
        <v>180</v>
      </c>
      <c r="E15" s="46">
        <v>120</v>
      </c>
      <c r="F15" s="46">
        <v>50</v>
      </c>
      <c r="G15" s="46">
        <v>-1</v>
      </c>
      <c r="H15" s="46">
        <v>115</v>
      </c>
      <c r="I15" s="46">
        <v>180</v>
      </c>
      <c r="J15" s="46">
        <v>220</v>
      </c>
      <c r="M15" s="47">
        <v>10110</v>
      </c>
      <c r="N15" s="47" t="s">
        <v>94</v>
      </c>
    </row>
    <row r="16" spans="1:14" x14ac:dyDescent="0.45">
      <c r="A16" s="46" t="s">
        <v>95</v>
      </c>
      <c r="B16" s="46">
        <v>415</v>
      </c>
      <c r="C16" s="46">
        <v>325</v>
      </c>
      <c r="D16" s="46">
        <v>295</v>
      </c>
      <c r="E16" s="46">
        <v>235</v>
      </c>
      <c r="F16" s="46">
        <v>165</v>
      </c>
      <c r="G16" s="46">
        <v>115</v>
      </c>
      <c r="H16" s="46">
        <v>-1</v>
      </c>
      <c r="I16" s="46">
        <v>65</v>
      </c>
      <c r="J16" s="46">
        <v>105</v>
      </c>
      <c r="M16" s="47">
        <v>10112</v>
      </c>
      <c r="N16" s="47" t="s">
        <v>95</v>
      </c>
    </row>
    <row r="17" spans="1:14" x14ac:dyDescent="0.45">
      <c r="A17" s="46" t="s">
        <v>96</v>
      </c>
      <c r="B17" s="46">
        <v>480</v>
      </c>
      <c r="C17" s="46">
        <v>390</v>
      </c>
      <c r="D17" s="46">
        <v>355</v>
      </c>
      <c r="E17" s="46">
        <v>300</v>
      </c>
      <c r="F17" s="46">
        <v>230</v>
      </c>
      <c r="G17" s="46">
        <v>180</v>
      </c>
      <c r="H17" s="46">
        <v>65</v>
      </c>
      <c r="I17" s="46">
        <v>-1</v>
      </c>
      <c r="J17" s="46">
        <v>40</v>
      </c>
      <c r="M17" s="47">
        <v>10114</v>
      </c>
      <c r="N17" s="47" t="s">
        <v>96</v>
      </c>
    </row>
    <row r="18" spans="1:14" x14ac:dyDescent="0.45">
      <c r="A18" s="46" t="s">
        <v>97</v>
      </c>
      <c r="B18" s="46">
        <v>525</v>
      </c>
      <c r="C18" s="46">
        <v>430</v>
      </c>
      <c r="D18" s="46">
        <v>400</v>
      </c>
      <c r="E18" s="46">
        <v>340</v>
      </c>
      <c r="F18" s="46">
        <v>270</v>
      </c>
      <c r="G18" s="46">
        <v>220</v>
      </c>
      <c r="H18" s="46">
        <v>105</v>
      </c>
      <c r="I18" s="46">
        <v>40</v>
      </c>
      <c r="J18" s="46">
        <v>-1</v>
      </c>
      <c r="M18" s="48">
        <v>10116</v>
      </c>
      <c r="N18" s="48" t="s">
        <v>97</v>
      </c>
    </row>
    <row r="21" spans="1:14" x14ac:dyDescent="0.45">
      <c r="A21" s="16" t="s">
        <v>167</v>
      </c>
    </row>
    <row r="22" spans="1:14" x14ac:dyDescent="0.45">
      <c r="A22" s="49" t="s">
        <v>100</v>
      </c>
      <c r="B22" s="46" t="s">
        <v>101</v>
      </c>
      <c r="C22" s="50" t="s">
        <v>102</v>
      </c>
    </row>
    <row r="23" spans="1:14" x14ac:dyDescent="0.45">
      <c r="A23" s="51">
        <v>10100</v>
      </c>
      <c r="B23" s="47">
        <v>10102</v>
      </c>
      <c r="C23" s="52"/>
    </row>
    <row r="24" spans="1:14" x14ac:dyDescent="0.45">
      <c r="A24" s="51">
        <v>10100</v>
      </c>
      <c r="B24" s="47">
        <v>10104</v>
      </c>
      <c r="C24" s="52"/>
    </row>
    <row r="25" spans="1:14" x14ac:dyDescent="0.45">
      <c r="A25" s="51">
        <v>10108</v>
      </c>
      <c r="B25" s="47">
        <v>10102</v>
      </c>
      <c r="C25" s="52"/>
    </row>
    <row r="26" spans="1:14" x14ac:dyDescent="0.45">
      <c r="A26" s="51">
        <v>10100</v>
      </c>
      <c r="B26" s="47">
        <v>10106</v>
      </c>
      <c r="C26" s="52"/>
    </row>
    <row r="27" spans="1:14" x14ac:dyDescent="0.45">
      <c r="A27" s="51">
        <v>10108</v>
      </c>
      <c r="B27" s="47">
        <v>10110</v>
      </c>
      <c r="C27" s="52"/>
    </row>
    <row r="28" spans="1:14" x14ac:dyDescent="0.45">
      <c r="A28" s="51">
        <v>10102</v>
      </c>
      <c r="B28" s="47">
        <v>10104</v>
      </c>
      <c r="C28" s="52"/>
    </row>
    <row r="29" spans="1:14" x14ac:dyDescent="0.45">
      <c r="A29" s="51">
        <v>10106</v>
      </c>
      <c r="B29" s="47">
        <v>10108</v>
      </c>
      <c r="C29" s="52"/>
    </row>
    <row r="30" spans="1:14" x14ac:dyDescent="0.45">
      <c r="A30" s="51">
        <v>10102</v>
      </c>
      <c r="B30" s="47">
        <v>10106</v>
      </c>
      <c r="C30" s="52"/>
    </row>
    <row r="31" spans="1:14" x14ac:dyDescent="0.45">
      <c r="A31" s="51">
        <v>10110</v>
      </c>
      <c r="B31" s="47">
        <v>10114</v>
      </c>
      <c r="C31" s="52"/>
    </row>
    <row r="32" spans="1:14" x14ac:dyDescent="0.45">
      <c r="A32" s="51">
        <v>10104</v>
      </c>
      <c r="B32" s="47">
        <v>10106</v>
      </c>
      <c r="C32" s="52"/>
    </row>
    <row r="33" spans="1:3" x14ac:dyDescent="0.45">
      <c r="A33" s="51">
        <v>10110</v>
      </c>
      <c r="B33" s="47">
        <v>10112</v>
      </c>
      <c r="C33" s="52"/>
    </row>
    <row r="34" spans="1:3" x14ac:dyDescent="0.45">
      <c r="A34" s="51">
        <v>10100</v>
      </c>
      <c r="B34" s="47">
        <v>10114</v>
      </c>
      <c r="C34" s="52"/>
    </row>
    <row r="35" spans="1:3" x14ac:dyDescent="0.45">
      <c r="A35" s="53">
        <v>10112</v>
      </c>
      <c r="B35" s="48">
        <v>10116</v>
      </c>
      <c r="C35" s="5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Adil Mirza</cp:lastModifiedBy>
  <dcterms:created xsi:type="dcterms:W3CDTF">2015-02-10T17:33:11Z</dcterms:created>
  <dcterms:modified xsi:type="dcterms:W3CDTF">2024-10-22T08:56:04Z</dcterms:modified>
</cp:coreProperties>
</file>